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-26" sheetId="1" r:id="rId4"/>
  </sheets>
  <definedNames/>
  <calcPr/>
</workbook>
</file>

<file path=xl/sharedStrings.xml><?xml version="1.0" encoding="utf-8"?>
<sst xmlns="http://schemas.openxmlformats.org/spreadsheetml/2006/main" count="53" uniqueCount="43">
  <si>
    <t xml:space="preserve">DEPARTMENT READNG FOR ADMIN, CHEMI, ECE </t>
  </si>
  <si>
    <t>Sl No</t>
  </si>
  <si>
    <t xml:space="preserve">Date </t>
  </si>
  <si>
    <t>ADMIN</t>
  </si>
  <si>
    <t>CHEMI</t>
  </si>
  <si>
    <t>ECE FORWARD</t>
  </si>
  <si>
    <t xml:space="preserve">ECE REVERSE </t>
  </si>
  <si>
    <t>ECE</t>
  </si>
  <si>
    <t>initial  Reading</t>
  </si>
  <si>
    <t>Final Reading</t>
  </si>
  <si>
    <t>Units Consumed</t>
  </si>
  <si>
    <t>SOLAR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</si>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</sst>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6.0"/>
      <color/>
      <name val="Calibri"/>
    </font>
    <font>
      <b/>
      <sz val="11.0"/>
      <color/>
      <name val="Calibri"/>
    </font>
    <font>
      <b/>
      <sz val="11.0"/>
      <color/>
      <name val="Times New Roman"/>
    </font>
    <font/>
    <font>
      <sz val="11.0"/>
      <color/>
      <name val="Times New Roman"/>
    </font>
  </fonts>
  <fills count="2">
    <fill>
      <patternFill patternType="none"/>
    </fill>
    <fill>
      <patternFill patternType="lightGray"/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17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5" numFmtId="0" xfId="0" applyAlignment="1" applyBorder="1" applyFont="1">
      <alignment horizontal="center" vertical="center"/>
    </xf>
    <xf borderId="7" fillId="0" fontId="4" numFmtId="0" xfId="0" applyBorder="1" applyFont="1"/>
    <xf borderId="6" fillId="0" fontId="5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1.0"/>
    <col customWidth="1" min="2" max="2" width="16.5"/>
    <col customWidth="1" hidden="1" min="3" max="4" width="10.17"/>
    <col customWidth="1" min="5" max="5" width="18.17"/>
    <col customWidth="1" hidden="1" min="6" max="7" width="10.67"/>
    <col customWidth="1" min="8" max="8" width="18.33"/>
    <col customWidth="1" hidden="1" min="9" max="10" width="10.67"/>
    <col customWidth="1" hidden="1" min="11" max="15" width="10.17"/>
    <col customWidth="1" min="16" max="16" width="18.83"/>
  </cols>
  <sheetData>
    <row r="3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M3" s="2">
        <v>46204.0</v>
      </c>
    </row>
    <row r="4" ht="18.75" customHeight="1">
      <c r="A4" s="3" t="s">
        <v>1</v>
      </c>
      <c r="B4" s="4" t="s">
        <v>2</v>
      </c>
      <c r="C4" s="5" t="s">
        <v>3</v>
      </c>
      <c r="D4" s="6"/>
      <c r="E4" s="7"/>
      <c r="F4" s="5" t="s">
        <v>4</v>
      </c>
      <c r="G4" s="6"/>
      <c r="H4" s="7"/>
      <c r="I4" s="5" t="s">
        <v>5</v>
      </c>
      <c r="J4" s="6"/>
      <c r="K4" s="7"/>
      <c r="L4" s="5" t="s">
        <v>6</v>
      </c>
      <c r="M4" s="6"/>
      <c r="N4" s="7"/>
      <c r="O4" s="8"/>
      <c r="P4" s="8" t="s">
        <v>7</v>
      </c>
    </row>
    <row r="5" ht="21.75" customHeight="1">
      <c r="A5" s="9"/>
      <c r="B5" s="9"/>
      <c r="C5" s="10" t="s">
        <v>8</v>
      </c>
      <c r="D5" s="10" t="s">
        <v>9</v>
      </c>
      <c r="E5" s="10" t="s">
        <v>10</v>
      </c>
      <c r="F5" s="10" t="s">
        <v>8</v>
      </c>
      <c r="G5" s="10" t="s">
        <v>9</v>
      </c>
      <c r="H5" s="10" t="s">
        <v>10</v>
      </c>
      <c r="I5" s="10" t="s">
        <v>8</v>
      </c>
      <c r="J5" s="10" t="s">
        <v>9</v>
      </c>
      <c r="K5" s="10" t="s">
        <v>10</v>
      </c>
      <c r="L5" s="10" t="s">
        <v>8</v>
      </c>
      <c r="M5" s="10" t="s">
        <v>9</v>
      </c>
      <c r="N5" s="10" t="s">
        <v>10</v>
      </c>
      <c r="O5" s="10" t="s">
        <v>11</v>
      </c>
      <c r="P5" s="10" t="s">
        <v>10</v>
      </c>
    </row>
    <row r="6">
      <c r="A6" s="8">
        <v>1.0</v>
      </c>
      <c r="B6" s="8" t="s">
        <v>12</v>
      </c>
      <c r="C6" s="8">
        <v>22.9</v>
      </c>
      <c r="D6" s="8">
        <v>23.82</v>
      </c>
      <c r="E6" s="8" t="str">
        <f t="shared" ref="E6:E36" si="1">(D6-C6)*1000</f>
        <v>920</v>
      </c>
      <c r="F6" s="8">
        <v>208707.0</v>
      </c>
      <c r="G6" s="8">
        <v>208716.0</v>
      </c>
      <c r="H6" s="8" t="str">
        <f t="shared" ref="H6:H36" si="2">(G6-F6)*1</f>
        <v>9</v>
      </c>
      <c r="I6" s="8">
        <v>357.866</v>
      </c>
      <c r="J6" s="8">
        <v>357.99</v>
      </c>
      <c r="K6" s="8" t="str">
        <f t="shared" ref="K6:K36" si="3">(J6-I6)*1000</f>
        <v>124</v>
      </c>
      <c r="L6" s="8">
        <v>530.583</v>
      </c>
      <c r="M6" s="8">
        <v>530.641</v>
      </c>
      <c r="N6" s="8" t="str">
        <f t="shared" ref="N6:N36" si="4">(M6-L6)*1000</f>
        <v>58</v>
      </c>
      <c r="O6" s="8">
        <v>349.0</v>
      </c>
      <c r="P6" s="8" t="str">
        <f t="shared" ref="P6:P12" si="5">(O6-N6)+K6</f>
        <v>415</v>
      </c>
    </row>
    <row r="7">
      <c r="A7" s="8">
        <v>2.0</v>
      </c>
      <c r="B7" s="8" t="s">
        <v>13</v>
      </c>
      <c r="C7" s="8" t="str">
        <f t="shared" ref="C7:C36" si="6">D6</f>
        <v>23.82</v>
      </c>
      <c r="D7" s="8">
        <v>24.71</v>
      </c>
      <c r="E7" s="8" t="str">
        <f t="shared" si="1"/>
        <v>890</v>
      </c>
      <c r="F7" s="8" t="str">
        <f t="shared" ref="F7:F36" si="7">G6</f>
        <v>208716</v>
      </c>
      <c r="G7" s="8">
        <v>208764.0</v>
      </c>
      <c r="H7" s="8" t="str">
        <f t="shared" si="2"/>
        <v>48</v>
      </c>
      <c r="I7" s="8" t="str">
        <f t="shared" ref="I7:I36" si="8">J6</f>
        <v>357.99</v>
      </c>
      <c r="J7" s="8">
        <v>358.094</v>
      </c>
      <c r="K7" s="8" t="str">
        <f t="shared" si="3"/>
        <v>104</v>
      </c>
      <c r="L7" s="8" t="str">
        <f t="shared" ref="L7:L36" si="9">M6</f>
        <v>530.641</v>
      </c>
      <c r="M7" s="8">
        <v>530.724</v>
      </c>
      <c r="N7" s="8" t="str">
        <f t="shared" si="4"/>
        <v>83</v>
      </c>
      <c r="O7" s="8">
        <v>343.0</v>
      </c>
      <c r="P7" s="8" t="str">
        <f t="shared" si="5"/>
        <v>364</v>
      </c>
    </row>
    <row r="8">
      <c r="A8" s="8">
        <v>3.0</v>
      </c>
      <c r="B8" s="8" t="s">
        <v>14</v>
      </c>
      <c r="C8" s="8" t="str">
        <f t="shared" si="6"/>
        <v>24.71</v>
      </c>
      <c r="D8" s="8">
        <v>25.66</v>
      </c>
      <c r="E8" s="8" t="str">
        <f t="shared" si="1"/>
        <v>950</v>
      </c>
      <c r="F8" s="8" t="str">
        <f t="shared" si="7"/>
        <v>208764</v>
      </c>
      <c r="G8" s="8">
        <v>208796.0</v>
      </c>
      <c r="H8" s="8" t="str">
        <f t="shared" si="2"/>
        <v>32</v>
      </c>
      <c r="I8" s="8" t="str">
        <f t="shared" si="8"/>
        <v>358.094</v>
      </c>
      <c r="J8" s="8">
        <v>358.243</v>
      </c>
      <c r="K8" s="8" t="str">
        <f t="shared" si="3"/>
        <v>149</v>
      </c>
      <c r="L8" s="8" t="str">
        <f t="shared" si="9"/>
        <v>530.724</v>
      </c>
      <c r="M8" s="8">
        <v>530.81</v>
      </c>
      <c r="N8" s="8" t="str">
        <f t="shared" si="4"/>
        <v>86</v>
      </c>
      <c r="O8" s="8">
        <v>316.0</v>
      </c>
      <c r="P8" s="8" t="str">
        <f t="shared" si="5"/>
        <v>379</v>
      </c>
    </row>
    <row r="9">
      <c r="A9" s="8">
        <v>4.0</v>
      </c>
      <c r="B9" s="8" t="s">
        <v>15</v>
      </c>
      <c r="C9" s="8" t="str">
        <f t="shared" si="6"/>
        <v>25.66</v>
      </c>
      <c r="D9" s="8">
        <v>26.43</v>
      </c>
      <c r="E9" s="8" t="str">
        <f t="shared" si="1"/>
        <v>770</v>
      </c>
      <c r="F9" s="8" t="str">
        <f t="shared" si="7"/>
        <v>208796</v>
      </c>
      <c r="G9" s="8">
        <v>208810.0</v>
      </c>
      <c r="H9" s="8" t="str">
        <f t="shared" si="2"/>
        <v>14</v>
      </c>
      <c r="I9" s="8" t="str">
        <f t="shared" si="8"/>
        <v>358.243</v>
      </c>
      <c r="J9" s="8">
        <v>358.37</v>
      </c>
      <c r="K9" s="8" t="str">
        <f t="shared" si="3"/>
        <v>127</v>
      </c>
      <c r="L9" s="8" t="str">
        <f t="shared" si="9"/>
        <v>530.81</v>
      </c>
      <c r="M9" s="8">
        <v>530.875</v>
      </c>
      <c r="N9" s="8" t="str">
        <f t="shared" si="4"/>
        <v>65</v>
      </c>
      <c r="O9" s="8">
        <v>298.0</v>
      </c>
      <c r="P9" s="8" t="str">
        <f t="shared" si="5"/>
        <v>360</v>
      </c>
    </row>
    <row r="10">
      <c r="A10" s="8">
        <v>5.0</v>
      </c>
      <c r="B10" s="8" t="s">
        <v>16</v>
      </c>
      <c r="C10" s="8" t="str">
        <f t="shared" si="6"/>
        <v>26.43</v>
      </c>
      <c r="D10" s="8">
        <v>26.71</v>
      </c>
      <c r="E10" s="8" t="str">
        <f t="shared" si="1"/>
        <v>280</v>
      </c>
      <c r="F10" s="8" t="str">
        <f t="shared" si="7"/>
        <v>208810</v>
      </c>
      <c r="G10" s="8">
        <v>208810.0</v>
      </c>
      <c r="H10" s="8" t="str">
        <f t="shared" si="2"/>
        <v>0</v>
      </c>
      <c r="I10" s="8" t="str">
        <f t="shared" si="8"/>
        <v>358.37</v>
      </c>
      <c r="J10" s="8">
        <v>358.37</v>
      </c>
      <c r="K10" s="8" t="str">
        <f t="shared" si="3"/>
        <v>0</v>
      </c>
      <c r="L10" s="8" t="str">
        <f t="shared" si="9"/>
        <v>530.875</v>
      </c>
      <c r="M10" s="8">
        <v>531.213</v>
      </c>
      <c r="N10" s="8" t="str">
        <f t="shared" si="4"/>
        <v>338</v>
      </c>
      <c r="O10" s="8">
        <v>394.0</v>
      </c>
      <c r="P10" s="8" t="str">
        <f t="shared" si="5"/>
        <v>56</v>
      </c>
    </row>
    <row r="11">
      <c r="A11" s="8">
        <v>6.0</v>
      </c>
      <c r="B11" s="8" t="s">
        <v>17</v>
      </c>
      <c r="C11" s="8" t="str">
        <f t="shared" si="6"/>
        <v>26.71</v>
      </c>
      <c r="D11" s="8">
        <v>27.46</v>
      </c>
      <c r="E11" s="8" t="str">
        <f t="shared" si="1"/>
        <v>750</v>
      </c>
      <c r="F11" s="8" t="str">
        <f t="shared" si="7"/>
        <v>208810</v>
      </c>
      <c r="G11" s="8">
        <v>208842.0</v>
      </c>
      <c r="H11" s="8" t="str">
        <f t="shared" si="2"/>
        <v>32</v>
      </c>
      <c r="I11" s="8" t="str">
        <f t="shared" si="8"/>
        <v>358.37</v>
      </c>
      <c r="J11" s="8">
        <v>358.485</v>
      </c>
      <c r="K11" s="8" t="str">
        <f t="shared" si="3"/>
        <v>115</v>
      </c>
      <c r="L11" s="8" t="str">
        <f t="shared" si="9"/>
        <v>531.213</v>
      </c>
      <c r="M11" s="8">
        <v>531.325</v>
      </c>
      <c r="N11" s="8" t="str">
        <f t="shared" si="4"/>
        <v>112</v>
      </c>
      <c r="O11" s="8">
        <v>341.0</v>
      </c>
      <c r="P11" s="8" t="str">
        <f t="shared" si="5"/>
        <v>344</v>
      </c>
    </row>
    <row r="12">
      <c r="A12" s="8">
        <v>7.0</v>
      </c>
      <c r="B12" s="8" t="s">
        <v>18</v>
      </c>
      <c r="C12" s="8" t="str">
        <f t="shared" si="6"/>
        <v>27.46</v>
      </c>
      <c r="D12" s="8">
        <v>28.26</v>
      </c>
      <c r="E12" s="8" t="str">
        <f t="shared" si="1"/>
        <v>800</v>
      </c>
      <c r="F12" s="8" t="str">
        <f t="shared" si="7"/>
        <v>208842</v>
      </c>
      <c r="G12" s="8">
        <v>208857.0</v>
      </c>
      <c r="H12" s="8" t="str">
        <f t="shared" si="2"/>
        <v>15</v>
      </c>
      <c r="I12" s="8" t="str">
        <f t="shared" si="8"/>
        <v>358.485</v>
      </c>
      <c r="J12" s="8">
        <v>358.581</v>
      </c>
      <c r="K12" s="8" t="str">
        <f t="shared" si="3"/>
        <v>96</v>
      </c>
      <c r="L12" s="8" t="str">
        <f t="shared" si="9"/>
        <v>531.325</v>
      </c>
      <c r="M12" s="8">
        <v>531.325</v>
      </c>
      <c r="N12" s="8" t="str">
        <f t="shared" si="4"/>
        <v>0</v>
      </c>
      <c r="O12" s="8">
        <v>302.0</v>
      </c>
      <c r="P12" s="8" t="str">
        <f t="shared" si="5"/>
        <v>398</v>
      </c>
    </row>
    <row r="13">
      <c r="A13" s="8">
        <v>8.0</v>
      </c>
      <c r="B13" s="8" t="s">
        <v>19</v>
      </c>
      <c r="C13" s="8" t="str">
        <f t="shared" si="6"/>
        <v>28.26</v>
      </c>
      <c r="D13" s="8">
        <v>29.22</v>
      </c>
      <c r="E13" s="8" t="str">
        <f t="shared" si="1"/>
        <v>960</v>
      </c>
      <c r="F13" s="8" t="str">
        <f t="shared" si="7"/>
        <v>208857</v>
      </c>
      <c r="G13" s="8">
        <v>208857.0</v>
      </c>
      <c r="H13" s="8" t="str">
        <f t="shared" si="2"/>
        <v>0</v>
      </c>
      <c r="I13" s="8" t="str">
        <f t="shared" si="8"/>
        <v>358.581</v>
      </c>
      <c r="J13" s="8">
        <v>358.685</v>
      </c>
      <c r="K13" s="8" t="str">
        <f t="shared" si="3"/>
        <v>104</v>
      </c>
      <c r="L13" s="8" t="str">
        <f t="shared" si="9"/>
        <v>531.325</v>
      </c>
      <c r="M13" s="8">
        <v>531.523</v>
      </c>
      <c r="N13" s="8" t="str">
        <f t="shared" si="4"/>
        <v>198</v>
      </c>
      <c r="O13" s="8">
        <v>312.0</v>
      </c>
      <c r="P13" s="8">
        <v>311.0</v>
      </c>
    </row>
    <row r="14">
      <c r="A14" s="8">
        <v>9.0</v>
      </c>
      <c r="B14" s="8" t="s">
        <v>20</v>
      </c>
      <c r="C14" s="8" t="str">
        <f t="shared" si="6"/>
        <v>29.22</v>
      </c>
      <c r="D14" s="8">
        <v>30.17</v>
      </c>
      <c r="E14" s="8" t="str">
        <f t="shared" si="1"/>
        <v>950</v>
      </c>
      <c r="F14" s="8" t="str">
        <f t="shared" si="7"/>
        <v>208857</v>
      </c>
      <c r="G14" s="8">
        <v>208894.0</v>
      </c>
      <c r="H14" s="8" t="str">
        <f t="shared" si="2"/>
        <v>37</v>
      </c>
      <c r="I14" s="8" t="str">
        <f t="shared" si="8"/>
        <v>358.685</v>
      </c>
      <c r="J14" s="8">
        <v>358.826</v>
      </c>
      <c r="K14" s="8" t="str">
        <f t="shared" si="3"/>
        <v>141</v>
      </c>
      <c r="L14" s="8" t="str">
        <f t="shared" si="9"/>
        <v>531.523</v>
      </c>
      <c r="M14" s="8">
        <v>531.7</v>
      </c>
      <c r="N14" s="8" t="str">
        <f t="shared" si="4"/>
        <v>177</v>
      </c>
      <c r="O14" s="8">
        <v>341.0</v>
      </c>
      <c r="P14" s="8">
        <v>400.0</v>
      </c>
    </row>
    <row r="15">
      <c r="A15" s="8">
        <v>10.0</v>
      </c>
      <c r="B15" s="8" t="s">
        <v>21</v>
      </c>
      <c r="C15" s="8" t="str">
        <f t="shared" si="6"/>
        <v>30.17</v>
      </c>
      <c r="D15" s="8">
        <v>31.25</v>
      </c>
      <c r="E15" s="8" t="str">
        <f t="shared" si="1"/>
        <v>1080</v>
      </c>
      <c r="F15" s="8" t="str">
        <f t="shared" si="7"/>
        <v>208894</v>
      </c>
      <c r="G15" s="8">
        <v>208917.0</v>
      </c>
      <c r="H15" s="8" t="str">
        <f t="shared" si="2"/>
        <v>23</v>
      </c>
      <c r="I15" s="8" t="str">
        <f t="shared" si="8"/>
        <v>358.826</v>
      </c>
      <c r="J15" s="8">
        <v>358.965</v>
      </c>
      <c r="K15" s="8" t="str">
        <f t="shared" si="3"/>
        <v>139</v>
      </c>
      <c r="L15" s="8" t="str">
        <f t="shared" si="9"/>
        <v>531.7</v>
      </c>
      <c r="M15" s="8">
        <v>531.812</v>
      </c>
      <c r="N15" s="8" t="str">
        <f t="shared" si="4"/>
        <v>112</v>
      </c>
      <c r="O15" s="8">
        <v>282.0</v>
      </c>
      <c r="P15" s="8">
        <v>352.0</v>
      </c>
    </row>
    <row r="16">
      <c r="A16" s="8">
        <v>11.0</v>
      </c>
      <c r="B16" s="8" t="s">
        <v>22</v>
      </c>
      <c r="C16" s="8" t="str">
        <f t="shared" si="6"/>
        <v>31.25</v>
      </c>
      <c r="D16" s="8">
        <v>31.72</v>
      </c>
      <c r="E16" s="8" t="str">
        <f t="shared" si="1"/>
        <v>470</v>
      </c>
      <c r="F16" s="8" t="str">
        <f t="shared" si="7"/>
        <v>208917</v>
      </c>
      <c r="G16" s="8">
        <v>208917.0</v>
      </c>
      <c r="H16" s="8" t="str">
        <f t="shared" si="2"/>
        <v>0</v>
      </c>
      <c r="I16" s="8" t="str">
        <f t="shared" si="8"/>
        <v>358.965</v>
      </c>
      <c r="J16" s="8">
        <v>359.011</v>
      </c>
      <c r="K16" s="8" t="str">
        <f t="shared" si="3"/>
        <v>46</v>
      </c>
      <c r="L16" s="8" t="str">
        <f t="shared" si="9"/>
        <v>531.812</v>
      </c>
      <c r="M16" s="8">
        <v>531.914</v>
      </c>
      <c r="N16" s="8" t="str">
        <f t="shared" si="4"/>
        <v>102</v>
      </c>
      <c r="O16" s="8">
        <v>409.0</v>
      </c>
      <c r="P16" s="8" t="str">
        <f t="shared" ref="P16:P21" si="10">(O16-N16)+K16</f>
        <v>353</v>
      </c>
    </row>
    <row r="17">
      <c r="A17" s="8">
        <v>12.0</v>
      </c>
      <c r="B17" s="8" t="s">
        <v>23</v>
      </c>
      <c r="C17" s="8" t="str">
        <f t="shared" si="6"/>
        <v>31.72</v>
      </c>
      <c r="D17" s="8">
        <v>32.04</v>
      </c>
      <c r="E17" s="8" t="str">
        <f t="shared" si="1"/>
        <v>320</v>
      </c>
      <c r="F17" s="8" t="str">
        <f t="shared" si="7"/>
        <v>208917</v>
      </c>
      <c r="G17" s="8">
        <v>208922.0</v>
      </c>
      <c r="H17" s="8" t="str">
        <f t="shared" si="2"/>
        <v>5</v>
      </c>
      <c r="I17" s="8" t="str">
        <f t="shared" si="8"/>
        <v>359.011</v>
      </c>
      <c r="J17" s="8">
        <v>359.048</v>
      </c>
      <c r="K17" s="8" t="str">
        <f t="shared" si="3"/>
        <v>37</v>
      </c>
      <c r="L17" s="8" t="str">
        <f t="shared" si="9"/>
        <v>531.914</v>
      </c>
      <c r="M17" s="8">
        <v>532.015</v>
      </c>
      <c r="N17" s="8" t="str">
        <f t="shared" si="4"/>
        <v>101</v>
      </c>
      <c r="O17" s="8">
        <v>409.0</v>
      </c>
      <c r="P17" s="8" t="str">
        <f t="shared" si="10"/>
        <v>345</v>
      </c>
    </row>
    <row r="18">
      <c r="A18" s="8">
        <v>13.0</v>
      </c>
      <c r="B18" s="8" t="s">
        <v>24</v>
      </c>
      <c r="C18" s="8" t="str">
        <f t="shared" si="6"/>
        <v>32.04</v>
      </c>
      <c r="D18" s="8">
        <v>33.1</v>
      </c>
      <c r="E18" s="8" t="str">
        <f t="shared" si="1"/>
        <v>1060</v>
      </c>
      <c r="F18" s="8" t="str">
        <f t="shared" si="7"/>
        <v>208922</v>
      </c>
      <c r="G18" s="8">
        <v>208922.0</v>
      </c>
      <c r="H18" s="8" t="str">
        <f t="shared" si="2"/>
        <v>0</v>
      </c>
      <c r="I18" s="8" t="str">
        <f t="shared" si="8"/>
        <v>359.048</v>
      </c>
      <c r="J18" s="8">
        <v>359.148</v>
      </c>
      <c r="K18" s="8" t="str">
        <f t="shared" si="3"/>
        <v>100</v>
      </c>
      <c r="L18" s="8" t="str">
        <f t="shared" si="9"/>
        <v>532.015</v>
      </c>
      <c r="M18" s="8">
        <v>532.099</v>
      </c>
      <c r="N18" s="8" t="str">
        <f t="shared" si="4"/>
        <v>84</v>
      </c>
      <c r="O18" s="8">
        <v>492.0</v>
      </c>
      <c r="P18" s="8" t="str">
        <f t="shared" si="10"/>
        <v>508</v>
      </c>
    </row>
    <row r="19">
      <c r="A19" s="8">
        <v>14.0</v>
      </c>
      <c r="B19" s="8" t="s">
        <v>25</v>
      </c>
      <c r="C19" s="8" t="str">
        <f t="shared" si="6"/>
        <v>33.1</v>
      </c>
      <c r="D19" s="8">
        <v>34.37</v>
      </c>
      <c r="E19" s="8" t="str">
        <f t="shared" si="1"/>
        <v>1270</v>
      </c>
      <c r="F19" s="8" t="str">
        <f t="shared" si="7"/>
        <v>208922</v>
      </c>
      <c r="G19" s="8">
        <v>208927.0</v>
      </c>
      <c r="H19" s="8" t="str">
        <f t="shared" si="2"/>
        <v>5</v>
      </c>
      <c r="I19" s="8" t="str">
        <f t="shared" si="8"/>
        <v>359.148</v>
      </c>
      <c r="J19" s="8">
        <v>359.234</v>
      </c>
      <c r="K19" s="8" t="str">
        <f t="shared" si="3"/>
        <v>86</v>
      </c>
      <c r="L19" s="8" t="str">
        <f t="shared" si="9"/>
        <v>532.099</v>
      </c>
      <c r="M19" s="8">
        <v>532.195</v>
      </c>
      <c r="N19" s="8" t="str">
        <f t="shared" si="4"/>
        <v>96</v>
      </c>
      <c r="O19" s="8">
        <v>412.0</v>
      </c>
      <c r="P19" s="8" t="str">
        <f t="shared" si="10"/>
        <v>402</v>
      </c>
    </row>
    <row r="20">
      <c r="A20" s="8">
        <v>15.0</v>
      </c>
      <c r="B20" s="8" t="s">
        <v>26</v>
      </c>
      <c r="C20" s="8" t="str">
        <f t="shared" si="6"/>
        <v>34.37</v>
      </c>
      <c r="D20" s="8">
        <v>35.39</v>
      </c>
      <c r="E20" s="8" t="str">
        <f t="shared" si="1"/>
        <v>1020</v>
      </c>
      <c r="F20" s="8" t="str">
        <f t="shared" si="7"/>
        <v>208927</v>
      </c>
      <c r="G20" s="8">
        <v>208940.0</v>
      </c>
      <c r="H20" s="8" t="str">
        <f t="shared" si="2"/>
        <v>13</v>
      </c>
      <c r="I20" s="8" t="str">
        <f t="shared" si="8"/>
        <v>359.234</v>
      </c>
      <c r="J20" s="8">
        <v>359.418</v>
      </c>
      <c r="K20" s="8" t="str">
        <f t="shared" si="3"/>
        <v>184</v>
      </c>
      <c r="L20" s="8" t="str">
        <f t="shared" si="9"/>
        <v>532.195</v>
      </c>
      <c r="M20" s="8">
        <v>532.28</v>
      </c>
      <c r="N20" s="8" t="str">
        <f t="shared" si="4"/>
        <v>85</v>
      </c>
      <c r="O20" s="8">
        <v>297.0</v>
      </c>
      <c r="P20" s="8" t="str">
        <f t="shared" si="10"/>
        <v>396</v>
      </c>
    </row>
    <row r="21" ht="15.75" customHeight="1">
      <c r="A21" s="8">
        <v>16.0</v>
      </c>
      <c r="B21" s="8" t="s">
        <v>27</v>
      </c>
      <c r="C21" s="8" t="str">
        <f t="shared" si="6"/>
        <v>35.39</v>
      </c>
      <c r="D21" s="8">
        <v>36.57</v>
      </c>
      <c r="E21" s="8" t="str">
        <f t="shared" si="1"/>
        <v>1180</v>
      </c>
      <c r="F21" s="8" t="str">
        <f t="shared" si="7"/>
        <v>208940</v>
      </c>
      <c r="G21" s="8">
        <v>208965.0</v>
      </c>
      <c r="H21" s="8" t="str">
        <f t="shared" si="2"/>
        <v>25</v>
      </c>
      <c r="I21" s="8" t="str">
        <f t="shared" si="8"/>
        <v>359.418</v>
      </c>
      <c r="J21" s="8">
        <v>359.576</v>
      </c>
      <c r="K21" s="8" t="str">
        <f t="shared" si="3"/>
        <v>158</v>
      </c>
      <c r="L21" s="8" t="str">
        <f t="shared" si="9"/>
        <v>532.28</v>
      </c>
      <c r="M21" s="8">
        <v>532.31</v>
      </c>
      <c r="N21" s="8" t="str">
        <f t="shared" si="4"/>
        <v>30</v>
      </c>
      <c r="O21" s="8">
        <v>370.0</v>
      </c>
      <c r="P21" s="8" t="str">
        <f t="shared" si="10"/>
        <v>498</v>
      </c>
    </row>
    <row r="22" ht="15.75" customHeight="1">
      <c r="A22" s="8">
        <v>17.0</v>
      </c>
      <c r="B22" s="8" t="s">
        <v>28</v>
      </c>
      <c r="C22" s="8" t="str">
        <f t="shared" si="6"/>
        <v>36.57</v>
      </c>
      <c r="D22" s="8">
        <v>37.8</v>
      </c>
      <c r="E22" s="8" t="str">
        <f t="shared" si="1"/>
        <v>1230</v>
      </c>
      <c r="F22" s="8" t="str">
        <f t="shared" si="7"/>
        <v>208965</v>
      </c>
      <c r="G22" s="8">
        <v>208989.0</v>
      </c>
      <c r="H22" s="8" t="str">
        <f t="shared" si="2"/>
        <v>24</v>
      </c>
      <c r="I22" s="8" t="str">
        <f t="shared" si="8"/>
        <v>359.576</v>
      </c>
      <c r="J22" s="8">
        <v>359.777</v>
      </c>
      <c r="K22" s="8" t="str">
        <f t="shared" si="3"/>
        <v>201</v>
      </c>
      <c r="L22" s="8" t="str">
        <f t="shared" si="9"/>
        <v>532.31</v>
      </c>
      <c r="M22" s="8">
        <v>532.37</v>
      </c>
      <c r="N22" s="8" t="str">
        <f t="shared" si="4"/>
        <v>60</v>
      </c>
      <c r="O22" s="8">
        <v>169.0</v>
      </c>
      <c r="P22" s="8">
        <v>420.0</v>
      </c>
    </row>
    <row r="23" ht="15.75" customHeight="1">
      <c r="A23" s="8">
        <v>18.0</v>
      </c>
      <c r="B23" s="8" t="s">
        <v>29</v>
      </c>
      <c r="C23" s="8" t="str">
        <f t="shared" si="6"/>
        <v>37.8</v>
      </c>
      <c r="D23" s="8">
        <v>38.98</v>
      </c>
      <c r="E23" s="8" t="str">
        <f t="shared" si="1"/>
        <v>1180</v>
      </c>
      <c r="F23" s="8" t="str">
        <f t="shared" si="7"/>
        <v>208989</v>
      </c>
      <c r="G23" s="8">
        <v>208999.0</v>
      </c>
      <c r="H23" s="8" t="str">
        <f t="shared" si="2"/>
        <v>10</v>
      </c>
      <c r="I23" s="8" t="str">
        <f t="shared" si="8"/>
        <v>359.777</v>
      </c>
      <c r="J23" s="8">
        <v>360.044</v>
      </c>
      <c r="K23" s="8" t="str">
        <f t="shared" si="3"/>
        <v>267</v>
      </c>
      <c r="L23" s="8" t="str">
        <f t="shared" si="9"/>
        <v>532.37</v>
      </c>
      <c r="M23" s="8">
        <v>532.451</v>
      </c>
      <c r="N23" s="8" t="str">
        <f t="shared" si="4"/>
        <v>81</v>
      </c>
      <c r="O23" s="8">
        <v>156.0</v>
      </c>
      <c r="P23" s="8" t="str">
        <f t="shared" ref="P23:P26" si="11">(O23-N23)+K23</f>
        <v>342</v>
      </c>
    </row>
    <row r="24" ht="15.75" customHeight="1">
      <c r="A24" s="8">
        <v>19.0</v>
      </c>
      <c r="B24" s="8" t="s">
        <v>30</v>
      </c>
      <c r="C24" s="8" t="str">
        <f t="shared" si="6"/>
        <v>38.98</v>
      </c>
      <c r="D24" s="8">
        <v>39.3</v>
      </c>
      <c r="E24" s="8" t="str">
        <f t="shared" si="1"/>
        <v>320</v>
      </c>
      <c r="F24" s="8" t="str">
        <f t="shared" si="7"/>
        <v>208999</v>
      </c>
      <c r="G24" s="8">
        <v>209045.0</v>
      </c>
      <c r="H24" s="8" t="str">
        <f t="shared" si="2"/>
        <v>46</v>
      </c>
      <c r="I24" s="8" t="str">
        <f t="shared" si="8"/>
        <v>360.044</v>
      </c>
      <c r="J24" s="8">
        <v>360.11</v>
      </c>
      <c r="K24" s="8" t="str">
        <f t="shared" si="3"/>
        <v>66</v>
      </c>
      <c r="L24" s="8" t="str">
        <f t="shared" si="9"/>
        <v>532.451</v>
      </c>
      <c r="M24" s="8">
        <v>532.644</v>
      </c>
      <c r="N24" s="8" t="str">
        <f t="shared" si="4"/>
        <v>193</v>
      </c>
      <c r="O24" s="8">
        <v>182.0</v>
      </c>
      <c r="P24" s="8" t="str">
        <f t="shared" si="11"/>
        <v>55</v>
      </c>
    </row>
    <row r="25" ht="15.75" customHeight="1">
      <c r="A25" s="8">
        <v>20.0</v>
      </c>
      <c r="B25" s="8" t="s">
        <v>31</v>
      </c>
      <c r="C25" s="8" t="str">
        <f t="shared" si="6"/>
        <v>39.3</v>
      </c>
      <c r="D25" s="8">
        <v>40.27</v>
      </c>
      <c r="E25" s="8" t="str">
        <f t="shared" si="1"/>
        <v>970</v>
      </c>
      <c r="F25" s="8" t="str">
        <f t="shared" si="7"/>
        <v>209045</v>
      </c>
      <c r="G25" s="8">
        <v>209098.0</v>
      </c>
      <c r="H25" s="8" t="str">
        <f t="shared" si="2"/>
        <v>53</v>
      </c>
      <c r="I25" s="8" t="str">
        <f t="shared" si="8"/>
        <v>360.11</v>
      </c>
      <c r="J25" s="8">
        <v>360.443</v>
      </c>
      <c r="K25" s="8" t="str">
        <f t="shared" si="3"/>
        <v>333</v>
      </c>
      <c r="L25" s="8" t="str">
        <f t="shared" si="9"/>
        <v>532.644</v>
      </c>
      <c r="M25" s="8">
        <v>532.715</v>
      </c>
      <c r="N25" s="8" t="str">
        <f t="shared" si="4"/>
        <v>71</v>
      </c>
      <c r="O25" s="8">
        <v>87.0</v>
      </c>
      <c r="P25" s="8" t="str">
        <f t="shared" si="11"/>
        <v>349</v>
      </c>
    </row>
    <row r="26" ht="15.75" customHeight="1">
      <c r="A26" s="8">
        <v>21.0</v>
      </c>
      <c r="B26" s="8" t="s">
        <v>32</v>
      </c>
      <c r="C26" s="8" t="str">
        <f t="shared" si="6"/>
        <v>40.27</v>
      </c>
      <c r="D26" s="8">
        <v>41.53</v>
      </c>
      <c r="E26" s="8" t="str">
        <f t="shared" si="1"/>
        <v>1260</v>
      </c>
      <c r="F26" s="8" t="str">
        <f t="shared" si="7"/>
        <v>209098</v>
      </c>
      <c r="G26" s="8">
        <v>209127.0</v>
      </c>
      <c r="H26" s="8" t="str">
        <f t="shared" si="2"/>
        <v>29</v>
      </c>
      <c r="I26" s="8" t="str">
        <f t="shared" si="8"/>
        <v>360.443</v>
      </c>
      <c r="J26" s="8">
        <v>360.75</v>
      </c>
      <c r="K26" s="8" t="str">
        <f t="shared" si="3"/>
        <v>307</v>
      </c>
      <c r="L26" s="8" t="str">
        <f t="shared" si="9"/>
        <v>532.715</v>
      </c>
      <c r="M26" s="8">
        <v>532.845</v>
      </c>
      <c r="N26" s="8" t="str">
        <f t="shared" si="4"/>
        <v>130</v>
      </c>
      <c r="O26" s="8">
        <v>160.0</v>
      </c>
      <c r="P26" s="8" t="str">
        <f t="shared" si="11"/>
        <v>337</v>
      </c>
    </row>
    <row r="27" ht="15.75" customHeight="1">
      <c r="A27" s="8">
        <v>22.0</v>
      </c>
      <c r="B27" s="8" t="s">
        <v>33</v>
      </c>
      <c r="C27" s="8" t="str">
        <f t="shared" si="6"/>
        <v>41.53</v>
      </c>
      <c r="D27" s="8">
        <v>42.53</v>
      </c>
      <c r="E27" s="8" t="str">
        <f t="shared" si="1"/>
        <v>1000</v>
      </c>
      <c r="F27" s="8" t="str">
        <f t="shared" si="7"/>
        <v>209127</v>
      </c>
      <c r="G27" s="8">
        <v>209153.0</v>
      </c>
      <c r="H27" s="8" t="str">
        <f t="shared" si="2"/>
        <v>26</v>
      </c>
      <c r="I27" s="8" t="str">
        <f t="shared" si="8"/>
        <v>360.75</v>
      </c>
      <c r="J27" s="8">
        <v>360.886</v>
      </c>
      <c r="K27" s="8" t="str">
        <f t="shared" si="3"/>
        <v>136</v>
      </c>
      <c r="L27" s="8" t="str">
        <f t="shared" si="9"/>
        <v>532.845</v>
      </c>
      <c r="M27" s="8">
        <v>532.999</v>
      </c>
      <c r="N27" s="8" t="str">
        <f t="shared" si="4"/>
        <v>154</v>
      </c>
      <c r="O27" s="8">
        <v>317.0</v>
      </c>
      <c r="P27" s="8">
        <v>413.0</v>
      </c>
    </row>
    <row r="28" ht="15.75" customHeight="1">
      <c r="A28" s="8">
        <v>23.0</v>
      </c>
      <c r="B28" s="8" t="s">
        <v>34</v>
      </c>
      <c r="C28" s="8" t="str">
        <f t="shared" si="6"/>
        <v>42.53</v>
      </c>
      <c r="D28" s="8">
        <v>43.71</v>
      </c>
      <c r="E28" s="8" t="str">
        <f t="shared" si="1"/>
        <v>1180</v>
      </c>
      <c r="F28" s="8" t="str">
        <f t="shared" si="7"/>
        <v>209153</v>
      </c>
      <c r="G28" s="8">
        <v>209181.0</v>
      </c>
      <c r="H28" s="8" t="str">
        <f t="shared" si="2"/>
        <v>28</v>
      </c>
      <c r="I28" s="8" t="str">
        <f t="shared" si="8"/>
        <v>360.886</v>
      </c>
      <c r="J28" s="8">
        <v>361.153</v>
      </c>
      <c r="K28" s="8" t="str">
        <f t="shared" si="3"/>
        <v>267</v>
      </c>
      <c r="L28" s="8" t="str">
        <f t="shared" si="9"/>
        <v>532.999</v>
      </c>
      <c r="M28" s="8">
        <v>533.015</v>
      </c>
      <c r="N28" s="8" t="str">
        <f t="shared" si="4"/>
        <v>16</v>
      </c>
      <c r="O28" s="8">
        <v>196.0</v>
      </c>
      <c r="P28" s="8" t="str">
        <f t="shared" ref="P28:P30" si="12">(O28-N28)+K28</f>
        <v>447</v>
      </c>
    </row>
    <row r="29" ht="15.75" customHeight="1">
      <c r="A29" s="8">
        <v>24.0</v>
      </c>
      <c r="B29" s="8" t="s">
        <v>35</v>
      </c>
      <c r="C29" s="8" t="str">
        <f t="shared" si="6"/>
        <v>43.71</v>
      </c>
      <c r="D29" s="8">
        <v>44.85</v>
      </c>
      <c r="E29" s="8" t="str">
        <f t="shared" si="1"/>
        <v>1140</v>
      </c>
      <c r="F29" s="8" t="str">
        <f t="shared" si="7"/>
        <v>209181</v>
      </c>
      <c r="G29" s="8">
        <v>209201.0</v>
      </c>
      <c r="H29" s="8" t="str">
        <f t="shared" si="2"/>
        <v>20</v>
      </c>
      <c r="I29" s="8" t="str">
        <f t="shared" si="8"/>
        <v>361.153</v>
      </c>
      <c r="J29" s="8">
        <v>361.399</v>
      </c>
      <c r="K29" s="8" t="str">
        <f t="shared" si="3"/>
        <v>246</v>
      </c>
      <c r="L29" s="8" t="str">
        <f t="shared" si="9"/>
        <v>533.015</v>
      </c>
      <c r="M29" s="8">
        <v>533.066</v>
      </c>
      <c r="N29" s="8" t="str">
        <f t="shared" si="4"/>
        <v>51</v>
      </c>
      <c r="O29" s="8">
        <v>198.0</v>
      </c>
      <c r="P29" s="8" t="str">
        <f t="shared" si="12"/>
        <v>393</v>
      </c>
    </row>
    <row r="30" ht="15.75" customHeight="1">
      <c r="A30" s="8">
        <v>25.0</v>
      </c>
      <c r="B30" s="8" t="s">
        <v>36</v>
      </c>
      <c r="C30" s="8" t="str">
        <f t="shared" si="6"/>
        <v>44.85</v>
      </c>
      <c r="D30" s="8">
        <v>45.33</v>
      </c>
      <c r="E30" s="8" t="str">
        <f t="shared" si="1"/>
        <v>480</v>
      </c>
      <c r="F30" s="8" t="str">
        <f t="shared" si="7"/>
        <v>209201</v>
      </c>
      <c r="G30" s="8">
        <v>209233.0</v>
      </c>
      <c r="H30" s="8" t="str">
        <f t="shared" si="2"/>
        <v>32</v>
      </c>
      <c r="I30" s="8" t="str">
        <f t="shared" si="8"/>
        <v>361.399</v>
      </c>
      <c r="J30" s="8">
        <v>361.457</v>
      </c>
      <c r="K30" s="8" t="str">
        <f t="shared" si="3"/>
        <v>58</v>
      </c>
      <c r="L30" s="8" t="str">
        <f t="shared" si="9"/>
        <v>533.066</v>
      </c>
      <c r="M30" s="8">
        <v>533.159</v>
      </c>
      <c r="N30" s="8" t="str">
        <f t="shared" si="4"/>
        <v>93</v>
      </c>
      <c r="O30" s="8">
        <v>202.0</v>
      </c>
      <c r="P30" s="8" t="str">
        <f t="shared" si="12"/>
        <v>167</v>
      </c>
    </row>
    <row r="31" ht="15.75" customHeight="1">
      <c r="A31" s="8">
        <v>26.0</v>
      </c>
      <c r="B31" s="8" t="s">
        <v>37</v>
      </c>
      <c r="C31" s="8" t="str">
        <f t="shared" si="6"/>
        <v>45.33</v>
      </c>
      <c r="D31" s="8">
        <v>45.68</v>
      </c>
      <c r="E31" s="8" t="str">
        <f t="shared" si="1"/>
        <v>350</v>
      </c>
      <c r="F31" s="8" t="str">
        <f t="shared" si="7"/>
        <v>209233</v>
      </c>
      <c r="G31" s="8">
        <v>209233.0</v>
      </c>
      <c r="H31" s="8" t="str">
        <f t="shared" si="2"/>
        <v>0</v>
      </c>
      <c r="I31" s="8" t="str">
        <f t="shared" si="8"/>
        <v>361.457</v>
      </c>
      <c r="J31" s="8">
        <v>361.499</v>
      </c>
      <c r="K31" s="8" t="str">
        <f t="shared" si="3"/>
        <v>42</v>
      </c>
      <c r="L31" s="8" t="str">
        <f t="shared" si="9"/>
        <v>533.159</v>
      </c>
      <c r="M31" s="8">
        <v>533.298</v>
      </c>
      <c r="N31" s="8" t="str">
        <f t="shared" si="4"/>
        <v>139</v>
      </c>
      <c r="O31" s="8">
        <v>184.0</v>
      </c>
      <c r="P31" s="8">
        <v>104.0</v>
      </c>
    </row>
    <row r="32" ht="15.75" customHeight="1">
      <c r="A32" s="8">
        <v>27.0</v>
      </c>
      <c r="B32" s="8" t="s">
        <v>38</v>
      </c>
      <c r="C32" s="8" t="str">
        <f t="shared" si="6"/>
        <v>45.68</v>
      </c>
      <c r="D32" s="8">
        <v>46.63</v>
      </c>
      <c r="E32" s="8" t="str">
        <f t="shared" si="1"/>
        <v>950</v>
      </c>
      <c r="F32" s="8" t="str">
        <f t="shared" si="7"/>
        <v>209233</v>
      </c>
      <c r="G32" s="8">
        <v>209252.0</v>
      </c>
      <c r="H32" s="8" t="str">
        <f t="shared" si="2"/>
        <v>19</v>
      </c>
      <c r="I32" s="8" t="str">
        <f t="shared" si="8"/>
        <v>361.499</v>
      </c>
      <c r="J32" s="8">
        <v>361.625</v>
      </c>
      <c r="K32" s="8" t="str">
        <f t="shared" si="3"/>
        <v>126</v>
      </c>
      <c r="L32" s="8" t="str">
        <f t="shared" si="9"/>
        <v>533.298</v>
      </c>
      <c r="M32" s="8">
        <v>533.309</v>
      </c>
      <c r="N32" s="8" t="str">
        <f t="shared" si="4"/>
        <v>11</v>
      </c>
      <c r="O32" s="8">
        <v>169.0</v>
      </c>
      <c r="P32" s="8">
        <v>461.0</v>
      </c>
    </row>
    <row r="33" ht="15.75" customHeight="1">
      <c r="A33" s="8">
        <v>28.0</v>
      </c>
      <c r="B33" s="8" t="s">
        <v>39</v>
      </c>
      <c r="C33" s="8" t="str">
        <f t="shared" si="6"/>
        <v>46.63</v>
      </c>
      <c r="D33" s="8">
        <v>47.96</v>
      </c>
      <c r="E33" s="8" t="str">
        <f t="shared" si="1"/>
        <v>1330</v>
      </c>
      <c r="F33" s="8" t="str">
        <f t="shared" si="7"/>
        <v>209252</v>
      </c>
      <c r="G33" s="8">
        <v>209297.0</v>
      </c>
      <c r="H33" s="8" t="str">
        <f t="shared" si="2"/>
        <v>45</v>
      </c>
      <c r="I33" s="8" t="str">
        <f t="shared" si="8"/>
        <v>361.625</v>
      </c>
      <c r="J33" s="8">
        <v>361.838</v>
      </c>
      <c r="K33" s="8" t="str">
        <f t="shared" si="3"/>
        <v>213</v>
      </c>
      <c r="L33" s="8" t="str">
        <f t="shared" si="9"/>
        <v>533.309</v>
      </c>
      <c r="M33" s="8">
        <v>533.415</v>
      </c>
      <c r="N33" s="8" t="str">
        <f t="shared" si="4"/>
        <v>106</v>
      </c>
      <c r="O33" s="8">
        <v>184.0</v>
      </c>
      <c r="P33" s="8">
        <v>407.0</v>
      </c>
    </row>
    <row r="34" ht="15.75" customHeight="1">
      <c r="A34" s="8">
        <v>29.0</v>
      </c>
      <c r="B34" s="8" t="s">
        <v>40</v>
      </c>
      <c r="C34" s="8" t="str">
        <f t="shared" si="6"/>
        <v>47.96</v>
      </c>
      <c r="D34" s="8">
        <v>49.09</v>
      </c>
      <c r="E34" s="8" t="str">
        <f t="shared" si="1"/>
        <v>1130</v>
      </c>
      <c r="F34" s="8" t="str">
        <f t="shared" si="7"/>
        <v>209297</v>
      </c>
      <c r="G34" s="8">
        <v>209333.0</v>
      </c>
      <c r="H34" s="8" t="str">
        <f t="shared" si="2"/>
        <v>36</v>
      </c>
      <c r="I34" s="8" t="str">
        <f t="shared" si="8"/>
        <v>361.838</v>
      </c>
      <c r="J34" s="8">
        <v>362.102</v>
      </c>
      <c r="K34" s="8" t="str">
        <f t="shared" si="3"/>
        <v>264</v>
      </c>
      <c r="L34" s="8" t="str">
        <f t="shared" si="9"/>
        <v>533.415</v>
      </c>
      <c r="M34" s="8">
        <v>533.569</v>
      </c>
      <c r="N34" s="8" t="str">
        <f t="shared" si="4"/>
        <v>154</v>
      </c>
      <c r="O34" s="8">
        <v>125.0</v>
      </c>
      <c r="P34" s="8">
        <v>338.0</v>
      </c>
    </row>
    <row r="35" ht="15.75" customHeight="1">
      <c r="A35" s="8">
        <v>30.0</v>
      </c>
      <c r="B35" s="8" t="s">
        <v>41</v>
      </c>
      <c r="C35" s="8" t="str">
        <f t="shared" si="6"/>
        <v>49.09</v>
      </c>
      <c r="D35" s="8">
        <v>50.0</v>
      </c>
      <c r="E35" s="8" t="str">
        <f t="shared" si="1"/>
        <v>910</v>
      </c>
      <c r="F35" s="8" t="str">
        <f t="shared" si="7"/>
        <v>209333</v>
      </c>
      <c r="G35" s="8">
        <v>209362.0</v>
      </c>
      <c r="H35" s="8" t="str">
        <f t="shared" si="2"/>
        <v>29</v>
      </c>
      <c r="I35" s="8" t="str">
        <f t="shared" si="8"/>
        <v>362.102</v>
      </c>
      <c r="J35" s="8">
        <v>362.297</v>
      </c>
      <c r="K35" s="8" t="str">
        <f t="shared" si="3"/>
        <v>195</v>
      </c>
      <c r="L35" s="8" t="str">
        <f t="shared" si="9"/>
        <v>533.569</v>
      </c>
      <c r="M35" s="8">
        <v>533.694</v>
      </c>
      <c r="N35" s="8" t="str">
        <f t="shared" si="4"/>
        <v>125</v>
      </c>
      <c r="O35" s="8">
        <v>169.0</v>
      </c>
      <c r="P35" s="8">
        <v>466.0</v>
      </c>
    </row>
    <row r="36" ht="15.75" customHeight="1">
      <c r="A36" s="8">
        <v>31.0</v>
      </c>
      <c r="B36" s="8" t="s">
        <v>42</v>
      </c>
      <c r="C36" s="8" t="str">
        <f t="shared" si="6"/>
        <v>50</v>
      </c>
      <c r="D36" s="8">
        <v>50.361</v>
      </c>
      <c r="E36" s="8" t="str">
        <f t="shared" si="1"/>
        <v>361</v>
      </c>
      <c r="F36" s="8" t="str">
        <f t="shared" si="7"/>
        <v>209362</v>
      </c>
      <c r="G36" s="8">
        <v>209362.0</v>
      </c>
      <c r="H36" s="8" t="str">
        <f t="shared" si="2"/>
        <v>0</v>
      </c>
      <c r="I36" s="8" t="str">
        <f t="shared" si="8"/>
        <v>362.297</v>
      </c>
      <c r="J36" s="8">
        <v>362.302</v>
      </c>
      <c r="K36" s="8" t="str">
        <f t="shared" si="3"/>
        <v>5</v>
      </c>
      <c r="L36" s="8" t="str">
        <f t="shared" si="9"/>
        <v>533.694</v>
      </c>
      <c r="M36" s="8">
        <v>533.805</v>
      </c>
      <c r="N36" s="8" t="str">
        <f t="shared" si="4"/>
        <v>111</v>
      </c>
      <c r="O36" s="8">
        <v>186.0</v>
      </c>
      <c r="P36" s="8">
        <v>388.0</v>
      </c>
    </row>
    <row r="37" ht="15.75" customHeight="1">
      <c r="A37" s="11"/>
      <c r="B37" s="11"/>
      <c r="C37" s="11"/>
      <c r="D37" s="11"/>
      <c r="E37" s="11" t="str">
        <f>SUM(E6:E36)</f>
        <v>27461</v>
      </c>
      <c r="F37" s="11"/>
      <c r="G37" s="11"/>
      <c r="H37" s="11" t="str">
        <f>SUM(H6:H36)</f>
        <v>655</v>
      </c>
      <c r="I37" s="11"/>
      <c r="J37" s="11"/>
      <c r="K37" s="11" t="str">
        <f>SUM(K6:K36)</f>
        <v>4436</v>
      </c>
      <c r="L37" s="8"/>
      <c r="M37" s="11"/>
      <c r="N37" s="11" t="str">
        <f t="shared" ref="N37:P37" si="13">SUM(N6:N36)</f>
        <v>3222</v>
      </c>
      <c r="O37" s="11" t="str">
        <f t="shared" si="13"/>
        <v>8351</v>
      </c>
      <c r="P37" s="11" t="str">
        <f t="shared" si="13"/>
        <v>10968</v>
      </c>
    </row>
    <row r="38" ht="15.75" customHeight="1"/>
    <row r="39" ht="15.75" customHeight="1">
      <c r="I39">
        <v>10968.0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L4:N4"/>
    <mergeCell ref="A4:A5"/>
    <mergeCell ref="B4:B5"/>
    <mergeCell ref="C4:E4"/>
    <mergeCell ref="F4:H4"/>
    <mergeCell ref="I4:K4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JULY-26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cp:lastModifiedBy>kongu</cp:lastModifiedBy>
  <dcterms:modified xsi:type="dcterms:W3CDTF">2026-08-18T03:39:36Z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E9C7772CA0754AEEA416D5729F36AA9E_12</vt:lpwstr>
  </property>
  <property fmtid="{D5CDD505-2E9C-101B-9397-08002B2CF9AE}" pid="3" name="KSOProductBuildVer">
    <vt:lpwstr>1033-12.2.0.23196</vt:lpwstr>
  </property>
</Properties>
</file>